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80" activeTab="1"/>
  </bookViews>
  <sheets>
    <sheet name="Parameters" sheetId="1" r:id="rId1"/>
    <sheet name="Costs_TCO" sheetId="2" r:id="rId2"/>
  </sheets>
  <calcPr calcId="144525"/>
</workbook>
</file>

<file path=xl/sharedStrings.xml><?xml version="1.0" encoding="utf-8"?>
<sst xmlns="http://schemas.openxmlformats.org/spreadsheetml/2006/main" count="133" uniqueCount="106">
  <si>
    <t>Параметр</t>
  </si>
  <si>
    <t>Значение</t>
  </si>
  <si>
    <t>Единица</t>
  </si>
  <si>
    <t>Примечание</t>
  </si>
  <si>
    <t>Planning_Horizon</t>
  </si>
  <si>
    <t>лет</t>
  </si>
  <si>
    <t>Горизонт планирования</t>
  </si>
  <si>
    <t>Discount_Rate</t>
  </si>
  <si>
    <t>%</t>
  </si>
  <si>
    <t>Ставка дисконтирования (hurdle rate)</t>
  </si>
  <si>
    <t>Inflation_Rate</t>
  </si>
  <si>
    <t>Ожидаемая инфляция</t>
  </si>
  <si>
    <t>Growth_Rate_Users</t>
  </si>
  <si>
    <t>Ежегодный рост пользователей</t>
  </si>
  <si>
    <t>Tax_Rate</t>
  </si>
  <si>
    <t>Налог на прибыль</t>
  </si>
  <si>
    <t>FTE_Fully_Loaded_Cost</t>
  </si>
  <si>
    <t>руб/год</t>
  </si>
  <si>
    <t>Полная стоимость 1 FTE</t>
  </si>
  <si>
    <t>Physician_Hourly_Rate</t>
  </si>
  <si>
    <t>руб/час</t>
  </si>
  <si>
    <t>Стоимость часа врача</t>
  </si>
  <si>
    <t>Nurse_Hourly_Rate</t>
  </si>
  <si>
    <t>Стоимость часа медсестры</t>
  </si>
  <si>
    <t>Cost_per_Medical_Error</t>
  </si>
  <si>
    <t>руб/ошибка</t>
  </si>
  <si>
    <t>Средняя стоимость ошибки</t>
  </si>
  <si>
    <t>Cost_per_Day_LOS</t>
  </si>
  <si>
    <t>руб/койко-день</t>
  </si>
  <si>
    <t>Стоимость дня госпитализации</t>
  </si>
  <si>
    <t>Physician_Turnover_Cost</t>
  </si>
  <si>
    <t>руб/врача</t>
  </si>
  <si>
    <t>Стоимость замены врача</t>
  </si>
  <si>
    <t>Confidence_Factor_Soft</t>
  </si>
  <si>
    <t>Коэффициент доверия к soft benefits</t>
  </si>
  <si>
    <t>Working_Days_Per_Year</t>
  </si>
  <si>
    <t>дней</t>
  </si>
  <si>
    <t>Рабочих дней в году</t>
  </si>
  <si>
    <t>Категория</t>
  </si>
  <si>
    <t>Статья</t>
  </si>
  <si>
    <t>Сумма_Год0</t>
  </si>
  <si>
    <t>Формула_Примечание</t>
  </si>
  <si>
    <t>Acquisition Costs</t>
  </si>
  <si>
    <t>Software</t>
  </si>
  <si>
    <t>Лицензии_первоначальные</t>
  </si>
  <si>
    <t>Разовая покупка</t>
  </si>
  <si>
    <t>Кастомизация</t>
  </si>
  <si>
    <t>Доработка под процессы</t>
  </si>
  <si>
    <t>Hardware</t>
  </si>
  <si>
    <t>Серверы_оборудование</t>
  </si>
  <si>
    <t>0 для cloud-решений</t>
  </si>
  <si>
    <t>Сетевое_оборудование</t>
  </si>
  <si>
    <t>При необходимости</t>
  </si>
  <si>
    <t>Implementation</t>
  </si>
  <si>
    <t>Интеграция_МИС_ЕГИСЗ</t>
  </si>
  <si>
    <t>Критично для мед. систем</t>
  </si>
  <si>
    <t>Миграция_данных</t>
  </si>
  <si>
    <t>Перенос исторических данных</t>
  </si>
  <si>
    <t>Тестирование_ИБ</t>
  </si>
  <si>
    <t>Пентест + аудит 152-ФЗ</t>
  </si>
  <si>
    <t>Training</t>
  </si>
  <si>
    <t>Обучение_персонала</t>
  </si>
  <si>
    <t>Врачи + медсёстры + админы</t>
  </si>
  <si>
    <t>Документация</t>
  </si>
  <si>
    <t>Инструкции + регламенты</t>
  </si>
  <si>
    <t>Project_Mgmt</t>
  </si>
  <si>
    <t>Внутренний_PM</t>
  </si>
  <si>
    <t>Выделение времени PM</t>
  </si>
  <si>
    <t>Внешний_консультант</t>
  </si>
  <si>
    <t>Compliance</t>
  </si>
  <si>
    <t>Аудит_соответствия</t>
  </si>
  <si>
    <t>152-ФЗ / HIPAA</t>
  </si>
  <si>
    <t>Сертификация</t>
  </si>
  <si>
    <t>ИТОГО_Acquisition</t>
  </si>
  <si>
    <t>Автосумма</t>
  </si>
  <si>
    <t>Год1</t>
  </si>
  <si>
    <t>Формула_роста_на_след_год</t>
  </si>
  <si>
    <t>Operational Costs</t>
  </si>
  <si>
    <t>Подписка_лицензии</t>
  </si>
  <si>
    <t>Обновления_патчи</t>
  </si>
  <si>
    <t>Infrastructure</t>
  </si>
  <si>
    <t>Хостинг_Cloud</t>
  </si>
  <si>
    <t>Резервное_копирование</t>
  </si>
  <si>
    <t>Support</t>
  </si>
  <si>
    <t>Техподдержка_вендор</t>
  </si>
  <si>
    <t>=%_от_лицензии</t>
  </si>
  <si>
    <t>Внутренняя_поддержка</t>
  </si>
  <si>
    <t>Security</t>
  </si>
  <si>
    <t>Мониторинг_ИБ</t>
  </si>
  <si>
    <t>Пентест_ежегодный</t>
  </si>
  <si>
    <t>Аудит_152-ФЗ</t>
  </si>
  <si>
    <t>Отчётность_ЕГИСЗ</t>
  </si>
  <si>
    <t>Обучение_новых</t>
  </si>
  <si>
    <t>Рефреш_тренинги</t>
  </si>
  <si>
    <t>ИТОГО_Operational_Год1</t>
  </si>
  <si>
    <t>Роль</t>
  </si>
  <si>
    <t>FTE_доля</t>
  </si>
  <si>
    <t>Годовая_стоимость</t>
  </si>
  <si>
    <t>Формула_расчёта</t>
  </si>
  <si>
    <t>Resource Costs</t>
  </si>
  <si>
    <t>Product_Owner</t>
  </si>
  <si>
    <t>Scrum_Master</t>
  </si>
  <si>
    <t>Developer</t>
  </si>
  <si>
    <t>QA_Engineer</t>
  </si>
  <si>
    <t>Clinical_Champion</t>
  </si>
  <si>
    <t>ИТОГО_Resource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</si>
</sst>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workbookViewId="0">
      <selection activeCell="A1" sqref="A1"/>
    </sheetView>
  </sheetViews>
  <sheetFormatPr defaultColWidth="9.14285714285714" defaultRowHeight="15" outlineLevelCol="3"/>
  <cols>
    <col min="1" max="1" width="25.4285714285714" customWidth="1"/>
    <col min="2" max="2" width="10.2857142857143" customWidth="1"/>
    <col min="3" max="3" width="17" customWidth="1"/>
    <col min="4" max="4" width="38.8571428571429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</v>
      </c>
      <c r="C2" t="s">
        <v>5</v>
      </c>
      <c r="D2" t="s">
        <v>6</v>
      </c>
    </row>
    <row r="3" spans="1:4">
      <c r="A3" t="s">
        <v>7</v>
      </c>
      <c r="B3">
        <v>0.12</v>
      </c>
      <c r="C3" t="s">
        <v>8</v>
      </c>
      <c r="D3" t="s">
        <v>9</v>
      </c>
    </row>
    <row r="4" spans="1:4">
      <c r="A4" t="s">
        <v>10</v>
      </c>
      <c r="B4">
        <v>0.075</v>
      </c>
      <c r="C4" t="s">
        <v>8</v>
      </c>
      <c r="D4" t="s">
        <v>11</v>
      </c>
    </row>
    <row r="5" spans="1:4">
      <c r="A5" t="s">
        <v>12</v>
      </c>
      <c r="B5">
        <v>0.05</v>
      </c>
      <c r="C5" t="s">
        <v>8</v>
      </c>
      <c r="D5" t="s">
        <v>13</v>
      </c>
    </row>
    <row r="6" spans="1:4">
      <c r="A6" t="s">
        <v>14</v>
      </c>
      <c r="B6">
        <v>0.2</v>
      </c>
      <c r="C6" t="s">
        <v>8</v>
      </c>
      <c r="D6" t="s">
        <v>15</v>
      </c>
    </row>
    <row r="7" spans="1:4">
      <c r="A7" t="s">
        <v>16</v>
      </c>
      <c r="B7">
        <v>1200000</v>
      </c>
      <c r="C7" t="s">
        <v>17</v>
      </c>
      <c r="D7" t="s">
        <v>18</v>
      </c>
    </row>
    <row r="8" spans="1:4">
      <c r="A8" t="s">
        <v>19</v>
      </c>
      <c r="B8">
        <v>3500</v>
      </c>
      <c r="C8" t="s">
        <v>20</v>
      </c>
      <c r="D8" t="s">
        <v>21</v>
      </c>
    </row>
    <row r="9" spans="1:4">
      <c r="A9" t="s">
        <v>22</v>
      </c>
      <c r="B9">
        <v>1800</v>
      </c>
      <c r="C9" t="s">
        <v>20</v>
      </c>
      <c r="D9" t="s">
        <v>23</v>
      </c>
    </row>
    <row r="10" spans="1:4">
      <c r="A10" t="s">
        <v>24</v>
      </c>
      <c r="B10">
        <v>50000</v>
      </c>
      <c r="C10" t="s">
        <v>25</v>
      </c>
      <c r="D10" t="s">
        <v>26</v>
      </c>
    </row>
    <row r="11" spans="1:4">
      <c r="A11" t="s">
        <v>27</v>
      </c>
      <c r="B11">
        <v>15000</v>
      </c>
      <c r="C11" t="s">
        <v>28</v>
      </c>
      <c r="D11" t="s">
        <v>29</v>
      </c>
    </row>
    <row r="12" spans="1:4">
      <c r="A12" t="s">
        <v>30</v>
      </c>
      <c r="B12">
        <v>750000</v>
      </c>
      <c r="C12" t="s">
        <v>31</v>
      </c>
      <c r="D12" t="s">
        <v>32</v>
      </c>
    </row>
    <row r="13" spans="1:4">
      <c r="A13" t="s">
        <v>33</v>
      </c>
      <c r="B13">
        <v>0.85</v>
      </c>
      <c r="C13" t="s">
        <v>8</v>
      </c>
      <c r="D13" t="s">
        <v>34</v>
      </c>
    </row>
    <row r="14" spans="1:4">
      <c r="A14" t="s">
        <v>35</v>
      </c>
      <c r="B14">
        <v>220</v>
      </c>
      <c r="C14" t="s">
        <v>36</v>
      </c>
      <c r="D14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8"/>
  <sheetViews>
    <sheetView tabSelected="1" topLeftCell="A13" workbookViewId="0">
      <selection activeCell="D19" sqref="D19"/>
    </sheetView>
  </sheetViews>
  <sheetFormatPr defaultColWidth="9.14285714285714" defaultRowHeight="15" outlineLevelCol="5"/>
  <cols>
    <col min="1" max="1" width="19.8571428571429" customWidth="1"/>
    <col min="2" max="2" width="29.2857142857143" customWidth="1"/>
    <col min="3" max="3" width="13" customWidth="1"/>
    <col min="4" max="4" width="32" customWidth="1"/>
    <col min="6" max="6" width="17.5714285714286" customWidth="1"/>
  </cols>
  <sheetData>
    <row r="1" spans="1:6">
      <c r="A1" t="s">
        <v>38</v>
      </c>
      <c r="B1" t="s">
        <v>39</v>
      </c>
      <c r="C1" t="s">
        <v>40</v>
      </c>
      <c r="D1" t="s">
        <v>41</v>
      </c>
      <c r="F1" t="s">
        <v>42</v>
      </c>
    </row>
    <row r="2" spans="1:4">
      <c r="A2" t="s">
        <v>43</v>
      </c>
      <c r="B2" t="s">
        <v>44</v>
      </c>
      <c r="C2">
        <v>500000</v>
      </c>
      <c r="D2" t="s">
        <v>45</v>
      </c>
    </row>
    <row r="3" spans="1:4">
      <c r="A3" t="s">
        <v>43</v>
      </c>
      <c r="B3" t="s">
        <v>46</v>
      </c>
      <c r="C3">
        <v>300000</v>
      </c>
      <c r="D3" t="s">
        <v>47</v>
      </c>
    </row>
    <row r="4" spans="1:4">
      <c r="A4" t="s">
        <v>48</v>
      </c>
      <c r="B4" t="s">
        <v>49</v>
      </c>
      <c r="C4">
        <v>0</v>
      </c>
      <c r="D4" t="s">
        <v>50</v>
      </c>
    </row>
    <row r="5" spans="1:4">
      <c r="A5" t="s">
        <v>48</v>
      </c>
      <c r="B5" t="s">
        <v>51</v>
      </c>
      <c r="C5">
        <v>0</v>
      </c>
      <c r="D5" t="s">
        <v>52</v>
      </c>
    </row>
    <row r="6" spans="1:4">
      <c r="A6" t="s">
        <v>53</v>
      </c>
      <c r="B6" t="s">
        <v>54</v>
      </c>
      <c r="C6">
        <v>400000</v>
      </c>
      <c r="D6" t="s">
        <v>55</v>
      </c>
    </row>
    <row r="7" spans="1:4">
      <c r="A7" t="s">
        <v>53</v>
      </c>
      <c r="B7" t="s">
        <v>56</v>
      </c>
      <c r="C7">
        <v>150000</v>
      </c>
      <c r="D7" t="s">
        <v>57</v>
      </c>
    </row>
    <row r="8" spans="1:4">
      <c r="A8" t="s">
        <v>53</v>
      </c>
      <c r="B8" t="s">
        <v>58</v>
      </c>
      <c r="C8">
        <v>200000</v>
      </c>
      <c r="D8" t="s">
        <v>59</v>
      </c>
    </row>
    <row r="9" spans="1:4">
      <c r="A9" t="s">
        <v>60</v>
      </c>
      <c r="B9" t="s">
        <v>61</v>
      </c>
      <c r="C9">
        <v>100000</v>
      </c>
      <c r="D9" t="s">
        <v>62</v>
      </c>
    </row>
    <row r="10" spans="1:4">
      <c r="A10" t="s">
        <v>60</v>
      </c>
      <c r="B10" t="s">
        <v>63</v>
      </c>
      <c r="C10">
        <v>50000</v>
      </c>
      <c r="D10" t="s">
        <v>64</v>
      </c>
    </row>
    <row r="11" spans="1:4">
      <c r="A11" t="s">
        <v>65</v>
      </c>
      <c r="B11" t="s">
        <v>66</v>
      </c>
      <c r="C11">
        <v>150000</v>
      </c>
      <c r="D11" t="s">
        <v>67</v>
      </c>
    </row>
    <row r="12" spans="1:4">
      <c r="A12" t="s">
        <v>65</v>
      </c>
      <c r="B12" t="s">
        <v>68</v>
      </c>
      <c r="C12">
        <v>0</v>
      </c>
      <c r="D12" t="s">
        <v>52</v>
      </c>
    </row>
    <row r="13" spans="1:4">
      <c r="A13" t="s">
        <v>69</v>
      </c>
      <c r="B13" t="s">
        <v>70</v>
      </c>
      <c r="C13">
        <v>100000</v>
      </c>
      <c r="D13" t="s">
        <v>71</v>
      </c>
    </row>
    <row r="14" spans="1:4">
      <c r="A14" t="s">
        <v>69</v>
      </c>
      <c r="B14" t="s">
        <v>72</v>
      </c>
      <c r="C14">
        <v>0</v>
      </c>
      <c r="D14" t="s">
        <v>52</v>
      </c>
    </row>
    <row r="15" spans="1:4">
      <c r="A15" t="s">
        <v>73</v>
      </c>
      <c r="C15" s="1">
        <f>SUM(C2:C14)</f>
        <v>1950000</v>
      </c>
      <c r="D15" t="s">
        <v>74</v>
      </c>
    </row>
    <row r="17" spans="1:6">
      <c r="A17" t="s">
        <v>38</v>
      </c>
      <c r="B17" t="s">
        <v>39</v>
      </c>
      <c r="C17" t="s">
        <v>75</v>
      </c>
      <c r="D17" t="s">
        <v>76</v>
      </c>
      <c r="F17" t="s">
        <v>77</v>
      </c>
    </row>
    <row r="18" spans="1:4">
      <c r="A18" t="s">
        <v>43</v>
      </c>
      <c r="B18" t="s">
        <v>78</v>
      </c>
      <c r="C18">
        <v>300000</v>
      </c>
      <c r="D18">
        <f>C18*(1+Parameters!$B$3)</f>
        <v>336000</v>
      </c>
    </row>
    <row r="19" spans="1:4">
      <c r="A19" t="s">
        <v>43</v>
      </c>
      <c r="B19" t="s">
        <v>79</v>
      </c>
      <c r="C19">
        <v>50000</v>
      </c>
      <c r="D19" t="e">
        <f>Включено_в_подписку</f>
        <v>#NAME?</v>
      </c>
    </row>
    <row r="20" spans="1:4">
      <c r="A20" t="s">
        <v>80</v>
      </c>
      <c r="B20" t="s">
        <v>81</v>
      </c>
      <c r="C20">
        <v>120000</v>
      </c>
      <c r="D20" t="e">
        <f>B4*(1+Parameters!$B$4)</f>
        <v>#VALUE!</v>
      </c>
    </row>
    <row r="21" spans="1:4">
      <c r="A21" t="s">
        <v>80</v>
      </c>
      <c r="B21" t="s">
        <v>82</v>
      </c>
      <c r="C21">
        <v>30000</v>
      </c>
      <c r="D21" t="e">
        <f>Обязательно_для_мед_данных</f>
        <v>#NAME?</v>
      </c>
    </row>
    <row r="22" spans="1:4">
      <c r="A22" t="s">
        <v>83</v>
      </c>
      <c r="B22" t="s">
        <v>84</v>
      </c>
      <c r="C22">
        <v>80000</v>
      </c>
      <c r="D22" t="s">
        <v>85</v>
      </c>
    </row>
    <row r="23" spans="1:4">
      <c r="A23" t="s">
        <v>83</v>
      </c>
      <c r="B23" t="s">
        <v>86</v>
      </c>
      <c r="C23">
        <v>200000</v>
      </c>
      <c r="D23" t="e">
        <f>Время_ИТ_специалистов</f>
        <v>#NAME?</v>
      </c>
    </row>
    <row r="24" spans="1:4">
      <c r="A24" t="s">
        <v>87</v>
      </c>
      <c r="B24" t="s">
        <v>88</v>
      </c>
      <c r="C24">
        <v>60000</v>
      </c>
      <c r="D24" t="e">
        <f>SIEM_аудит_логов</f>
        <v>#NAME?</v>
      </c>
    </row>
    <row r="25" spans="1:4">
      <c r="A25" t="s">
        <v>87</v>
      </c>
      <c r="B25" t="s">
        <v>89</v>
      </c>
      <c r="C25">
        <v>100000</v>
      </c>
      <c r="D25" t="e">
        <f>Требование_регуляторов</f>
        <v>#NAME?</v>
      </c>
    </row>
    <row r="26" spans="1:4">
      <c r="A26" t="s">
        <v>69</v>
      </c>
      <c r="B26" t="s">
        <v>90</v>
      </c>
      <c r="C26">
        <v>80000</v>
      </c>
      <c r="D26" t="e">
        <f>Ежегодный_аудит</f>
        <v>#NAME?</v>
      </c>
    </row>
    <row r="27" spans="1:4">
      <c r="A27" t="s">
        <v>69</v>
      </c>
      <c r="B27" t="s">
        <v>91</v>
      </c>
      <c r="C27">
        <v>40000</v>
      </c>
      <c r="D27" t="e">
        <f>Росздравнадзор</f>
        <v>#NAME?</v>
      </c>
    </row>
    <row r="28" spans="1:4">
      <c r="A28" t="s">
        <v>60</v>
      </c>
      <c r="B28" t="s">
        <v>92</v>
      </c>
      <c r="C28">
        <v>50000</v>
      </c>
      <c r="D28" t="e">
        <f>B11*(1+Parameters!$B$4)</f>
        <v>#VALUE!</v>
      </c>
    </row>
    <row r="29" spans="1:4">
      <c r="A29" t="s">
        <v>60</v>
      </c>
      <c r="B29" t="s">
        <v>93</v>
      </c>
      <c r="C29">
        <v>30000</v>
      </c>
      <c r="D29" t="e">
        <f>Поддержание_компетенций</f>
        <v>#NAME?</v>
      </c>
    </row>
    <row r="30" spans="1:4">
      <c r="A30" t="s">
        <v>94</v>
      </c>
      <c r="C30">
        <f>SUM(C2:C13)</f>
        <v>1950000</v>
      </c>
      <c r="D30" t="s">
        <v>74</v>
      </c>
    </row>
    <row r="32" spans="1:6">
      <c r="A32" t="s">
        <v>95</v>
      </c>
      <c r="B32" t="s">
        <v>96</v>
      </c>
      <c r="C32" t="s">
        <v>97</v>
      </c>
      <c r="D32" t="s">
        <v>98</v>
      </c>
      <c r="F32" t="s">
        <v>99</v>
      </c>
    </row>
    <row r="33" spans="1:4">
      <c r="A33" t="s">
        <v>100</v>
      </c>
      <c r="B33">
        <v>0.2</v>
      </c>
      <c r="C33" t="e">
        <f>B2*Parameters!$B$6</f>
        <v>#VALUE!</v>
      </c>
      <c r="D33" t="e">
        <f>FTE*FTE_Cost</f>
        <v>#NAME?</v>
      </c>
    </row>
    <row r="34" spans="1:4">
      <c r="A34" t="s">
        <v>101</v>
      </c>
      <c r="B34">
        <v>0.1</v>
      </c>
      <c r="C34" t="e">
        <f>B3*Parameters!$B$6</f>
        <v>#VALUE!</v>
      </c>
      <c r="D34" t="e">
        <f>FTE*FTE_Cost</f>
        <v>#NAME?</v>
      </c>
    </row>
    <row r="35" spans="1:4">
      <c r="A35" t="s">
        <v>102</v>
      </c>
      <c r="B35">
        <v>0.5</v>
      </c>
      <c r="C35" t="e">
        <f>B4*Parameters!$B$6</f>
        <v>#VALUE!</v>
      </c>
      <c r="D35" t="e">
        <f>FTE*FTE_Cost</f>
        <v>#NAME?</v>
      </c>
    </row>
    <row r="36" spans="1:4">
      <c r="A36" t="s">
        <v>103</v>
      </c>
      <c r="B36">
        <v>0.2</v>
      </c>
      <c r="C36" t="e">
        <f>B5*Parameters!$B$6</f>
        <v>#VALUE!</v>
      </c>
      <c r="D36" t="e">
        <f>FTE*FTE_Cost</f>
        <v>#NAME?</v>
      </c>
    </row>
    <row r="37" spans="1:4">
      <c r="A37" t="s">
        <v>104</v>
      </c>
      <c r="B37">
        <v>0.1</v>
      </c>
      <c r="C37" t="e">
        <f>B6*Parameters!$B$6</f>
        <v>#VALUE!</v>
      </c>
      <c r="D37" t="e">
        <f>Врач-эксперт</f>
        <v>#NAME?</v>
      </c>
    </row>
    <row r="38" spans="1:4">
      <c r="A38" t="s">
        <v>105</v>
      </c>
      <c r="C38">
        <f>SUM(C2:C6)</f>
        <v>1200000</v>
      </c>
      <c r="D38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Parameters</vt:lpstr>
      <vt:lpstr>Costs_TCO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biletskii</dc:creator>
  <cp:lastModifiedBy>biletskii</cp:lastModifiedBy>
  <dcterms:created xsi:type="dcterms:W3CDTF">2026-04-08T06:04:10Z</dcterms:created>
  <dcterms:modified xsi:type="dcterms:W3CDTF">2026-04-09T11:16:21Z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62319F254609404380C3EC50AA2F7CDE_11</vt:lpwstr>
  </property>
  <property fmtid="{D5CDD505-2E9C-101B-9397-08002B2CF9AE}" pid="3" name="KSOProductBuildVer">
    <vt:lpwstr>1049-12.2.0.13489</vt:lpwstr>
  </property>
</Properties>
</file>